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ELL\Downloads\"/>
    </mc:Choice>
  </mc:AlternateContent>
  <xr:revisionPtr revIDLastSave="0" documentId="8_{9ABA3DC9-731A-4284-B6BE-25DD39162522}" xr6:coauthVersionLast="47" xr6:coauthVersionMax="47" xr10:uidLastSave="{00000000-0000-0000-0000-000000000000}"/>
  <bookViews>
    <workbookView xWindow="-103" yWindow="-103" windowWidth="16663" windowHeight="8743" tabRatio="500" xr2:uid="{00000000-000D-0000-FFFF-FFFF00000000}"/>
  </bookViews>
  <sheets>
    <sheet name="1. Govt Claim" sheetId="1" r:id="rId1"/>
    <sheet name="2. Multi-City Expenses" sheetId="2" r:id="rId2"/>
    <sheet name="3. National Gap Analysis" sheetId="3" r:id="rId3"/>
    <sheet name="4. Elite Context (Unverified)" sheetId="4" r:id="rId4"/>
    <sheet name="5. Dashboard" sheetId="5" r:id="rId5"/>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12" i="5" l="1"/>
  <c r="C11" i="5"/>
  <c r="D6" i="5"/>
  <c r="F5" i="5"/>
  <c r="D5" i="5"/>
  <c r="C5" i="5"/>
  <c r="C13" i="4"/>
  <c r="C12" i="4"/>
  <c r="C11" i="4"/>
  <c r="C10" i="4"/>
  <c r="C9" i="4"/>
  <c r="C8" i="4"/>
  <c r="C7" i="4"/>
  <c r="C6" i="4"/>
  <c r="C5" i="4"/>
  <c r="D10" i="3"/>
  <c r="C10" i="3"/>
  <c r="F9" i="3"/>
  <c r="D9" i="3"/>
  <c r="C9" i="3"/>
  <c r="D8" i="3"/>
  <c r="C8" i="3"/>
  <c r="F7" i="3"/>
  <c r="F6" i="5" s="1"/>
  <c r="D7" i="3"/>
  <c r="C7" i="3"/>
  <c r="C6" i="5" s="1"/>
  <c r="F6" i="3"/>
  <c r="F10" i="3" s="1"/>
  <c r="E6" i="3"/>
  <c r="E7" i="3" s="1"/>
  <c r="E6" i="5" s="1"/>
  <c r="D6" i="3"/>
  <c r="C6" i="3"/>
  <c r="F16" i="2"/>
  <c r="C14" i="5" s="1"/>
  <c r="E16" i="2"/>
  <c r="C13" i="5" s="1"/>
  <c r="D16" i="2"/>
  <c r="C16" i="2"/>
  <c r="B16" i="2"/>
  <c r="B6" i="3" s="1"/>
  <c r="F15" i="2"/>
  <c r="E15" i="2"/>
  <c r="D15" i="2"/>
  <c r="C15" i="2"/>
  <c r="B15" i="2"/>
  <c r="B8" i="1"/>
  <c r="B7" i="1"/>
  <c r="B6" i="1"/>
  <c r="B9" i="3" l="1"/>
  <c r="B7" i="3"/>
  <c r="B6" i="5" s="1"/>
  <c r="B10" i="3"/>
  <c r="B8" i="3"/>
  <c r="C10" i="5"/>
  <c r="E5" i="5"/>
  <c r="B5" i="5"/>
  <c r="F8" i="3"/>
  <c r="E10" i="3"/>
  <c r="E9" i="3"/>
  <c r="E8" i="3"/>
</calcChain>
</file>

<file path=xl/sharedStrings.xml><?xml version="1.0" encoding="utf-8"?>
<sst xmlns="http://schemas.openxmlformats.org/spreadsheetml/2006/main" count="146" uniqueCount="122">
  <si>
    <t>PAKISTAN POVERTY LINE — OFFICIAL GOVERNMENT CLAIM</t>
  </si>
  <si>
    <t>Economic Survey of Pakistan 2024-25 | Finance Minister Muhammad Aurangzeb</t>
  </si>
  <si>
    <t>Item</t>
  </si>
  <si>
    <t>Government Figure</t>
  </si>
  <si>
    <t>Notes / Source</t>
  </si>
  <si>
    <t>Monthly Poverty Line (PKR)</t>
  </si>
  <si>
    <t>Official — Economic Survey of Pakistan 2024-25</t>
  </si>
  <si>
    <t>Daily Poverty Line (PKR)</t>
  </si>
  <si>
    <t>At approx. 1 USD = 278 PKR</t>
  </si>
  <si>
    <t>Annual Poverty Line (PKR)</t>
  </si>
  <si>
    <t>Annualised figure</t>
  </si>
  <si>
    <t>USD equivalent / month</t>
  </si>
  <si>
    <t xml:space="preserve">At ~1 USD = 278 PKR </t>
  </si>
  <si>
    <t>Source</t>
  </si>
  <si>
    <t>Economic Survey of Pakistan 2024-25</t>
  </si>
  <si>
    <t>Presented June 2025</t>
  </si>
  <si>
    <t>Status</t>
  </si>
  <si>
    <t>NATIONALLY APPLIED threshold</t>
  </si>
  <si>
    <t>Same figure applied to 240 million people across all provinces</t>
  </si>
  <si>
    <t>⚠  This single threshold is applied nationally — it does not account for regional cost-of-living differences between Karachi, Lahore, Peshawar, rural Sindh, or Balochistan.</t>
  </si>
  <si>
    <t>REAL MONTHLY SURVIVAL COST — PAKISTAN MULTI-CITY COMPARISON</t>
  </si>
  <si>
    <t>Single adult, minimum survival budget | Mid-2025 estimates</t>
  </si>
  <si>
    <t>Expense Category</t>
  </si>
  <si>
    <t>Karachi</t>
  </si>
  <si>
    <t>Lahore</t>
  </si>
  <si>
    <t>Islamabad/RWP</t>
  </si>
  <si>
    <t>Peshawar</t>
  </si>
  <si>
    <t>Interior Sindh (rural)</t>
  </si>
  <si>
    <t>Notes / Basis</t>
  </si>
  <si>
    <t>Food (basic groceries)</t>
  </si>
  <si>
    <t>Higher in Karachi/Lahore; rural Sindh lower but rising</t>
  </si>
  <si>
    <t>PBS HIES 2024-25 (Household Integrated Economic Survey), food &amp; beverage category average</t>
  </si>
  <si>
    <t>Rent — basic single room</t>
  </si>
  <si>
    <t>Karachi: North Nazimabad/Landhi. Lahore: Samanabad. RWP: Satellite Town</t>
  </si>
  <si>
    <t>Zameen.com and OLX rental listings, mid-2025 sample (informal — not an official index)</t>
  </si>
  <si>
    <t>Electricity (summer peak)</t>
  </si>
  <si>
    <t>KESC/K-Electric (Karachi); LESCO (Lahore); IESCO (RWP); PESCO (KPK); HESCO/SEPCO (Sindh)</t>
  </si>
  <si>
    <t>IESCO / LESCO / K-Electric / PESCO / HESCO published tariff schedules, summer slab</t>
  </si>
  <si>
    <t>Gas / Fuel</t>
  </si>
  <si>
    <t>Interior Sindh: no piped gas — LPG cylinder ~Rs. 3,000+ per month</t>
  </si>
  <si>
    <t>OGRA LPG price notifications (interior Sindh) and SNGPL piped-gas tariff (other cities)</t>
  </si>
  <si>
    <t>Water</t>
  </si>
  <si>
    <t>KWSB (Karachi); WASA (Lahore/RWP); tanker supplements in all cities</t>
  </si>
  <si>
    <t>WASA (Lahore/RWP) and KWSB (Karachi) published water tariffs; informal for tanker top-ups</t>
  </si>
  <si>
    <t>Transport (daily commute)</t>
  </si>
  <si>
    <t>Karachi: bus/rickshaw; Lahore: Metro/rickshaw; RWP: Metro Bus; rural: motorbike fuel</t>
  </si>
  <si>
    <t>Local fare estimates — no single official source; verify against city transport authority rates</t>
  </si>
  <si>
    <t>Mobile / Internet (prepaid)</t>
  </si>
  <si>
    <t>Jazz/Telenor prepaid bundle; connectivity lower in interior</t>
  </si>
  <si>
    <t>Jazz/Telenor publicly listed prepaid bundle prices</t>
  </si>
  <si>
    <t>Healthcare (basic OPD)</t>
  </si>
  <si>
    <t>Private GP costs higher in Karachi; rural relies on Basic Health Units (often dysfunctional)</t>
  </si>
  <si>
    <t>Estimated from private GP consultation fee surveys — not an official source, verify locally</t>
  </si>
  <si>
    <t>Clothing / household (monthly share)</t>
  </si>
  <si>
    <t>Amortised over year; basic seasonal clothing</t>
  </si>
  <si>
    <t>PBS HIES 2024-25 clothing/household category, amortised over the year</t>
  </si>
  <si>
    <t>Education (1 child, govt school fees/supplies)</t>
  </si>
  <si>
    <t>Optional — set 0 for single adult; significant for families</t>
  </si>
  <si>
    <t>Estimated from public-school fee/supply cost surveys; verify with provincial education dept.</t>
  </si>
  <si>
    <t>Emergency buffer (8%)</t>
  </si>
  <si>
    <t>8% buffer for unplanned expenses</t>
  </si>
  <si>
    <t>Calculated (8% of subtotal) — not independently sourced</t>
  </si>
  <si>
    <t>TOTAL MINIMUM MONTHLY COST</t>
  </si>
  <si>
    <t>Compare each city total vs govt poverty line of Rs. 8,483</t>
  </si>
  <si>
    <t>Calculated (sum of rows above)</t>
  </si>
  <si>
    <t>⚠  All figures are estimates for illustrative purposes. Sources: PBS HIES 2024-25 | K-Electric/LESCO/IESCO/PESCO/HESCO tariffs | KWSB/WASA/WAPDA | Zameen.com/OLX (rent) | local market prices. Interior Sindh uses LPG (no SNGPL grid). Verify all before publication.</t>
  </si>
  <si>
    <t>NATIONAL GAP ANALYSIS — Rs. 8,483 Poverty Line vs. Real Survival Cost</t>
  </si>
  <si>
    <t>How disconnected is the official figure from reality — city by city?</t>
  </si>
  <si>
    <t>Metric</t>
  </si>
  <si>
    <t>Interpretation</t>
  </si>
  <si>
    <t>Govt Poverty Line (PKR)</t>
  </si>
  <si>
    <t>Same threshold applied nationally</t>
  </si>
  <si>
    <t>Estimated Min Monthly Cost (PKR)</t>
  </si>
  <si>
    <t>Linked from Sheet 2 totals</t>
  </si>
  <si>
    <t>Monthly Shortfall (PKR)</t>
  </si>
  <si>
    <t>Positive = real cost exceeds poverty line</t>
  </si>
  <si>
    <t>Shortfall as % above poverty line</t>
  </si>
  <si>
    <t>How many % above the line is the real minimum?</t>
  </si>
  <si>
    <t>Poverty line covers only this % of real cost</t>
  </si>
  <si>
    <t>Lower = more disconnected from reality</t>
  </si>
  <si>
    <t>Months a poverty-line earner can survive</t>
  </si>
  <si>
    <t>Out of 12 months — how many does Rs. 8,483 cover?</t>
  </si>
  <si>
    <t>KEY FINDING: A nationally uniform poverty threshold of Rs. 8,483 is absurd in Karachi where rent alone exceeds it. It is equally misleading in rural Sindh where cash income is irregular and LPG/transport costs are disproportionately high.</t>
  </si>
  <si>
    <t>COMMENTARY — ELITE PRIVILEGES vs. POVERTY LINE (UNVERIFIED ESTIMATES)</t>
  </si>
  <si>
    <t>Illustrative only — most figures below have no traceable official source. Do not present as audited data.</t>
  </si>
  <si>
    <t>Estimated Cost (PKR)</t>
  </si>
  <si>
    <t>Months of 'Poverty Line' Income</t>
  </si>
  <si>
    <t>Confidence</t>
  </si>
  <si>
    <t>Govt poverty line (1 month)</t>
  </si>
  <si>
    <t>The official 'not poor' threshold</t>
  </si>
  <si>
    <t>PIA Business Class ticket (domestic, 1 way)</t>
  </si>
  <si>
    <t>Approx. Karachi–Islamabad business class; verify on PIA.com</t>
  </si>
  <si>
    <t>Verifiable — check current published fares on PIA.com</t>
  </si>
  <si>
    <t>Federal minister daily TA/DA allowance (est.)</t>
  </si>
  <si>
    <t>Approximate — actual figures vary; verify from Finance Division notifications</t>
  </si>
  <si>
    <t>Unverified — no public source found; author estimate</t>
  </si>
  <si>
    <t>Government officer protocol car fuel (monthly est.)</t>
  </si>
  <si>
    <t>Estimate based on fuel allowance norms; verify from Establishment Division</t>
  </si>
  <si>
    <t>One diplomatic dinner / state function (per head est.)</t>
  </si>
  <si>
    <t>Approximate based on reported costs; verify from PAC/AGPR reports</t>
  </si>
  <si>
    <t>MNA/MPA monthly salary + allowances (approx.)</t>
  </si>
  <si>
    <t>Includes salary, constituency allowance, fuel, medical; verify from NA website</t>
  </si>
  <si>
    <t>Partially verifiable — NA website publishes salary/allowance structure, not a single total</t>
  </si>
  <si>
    <t>PM/CM motorcade operational cost per trip (est.)</t>
  </si>
  <si>
    <t>Multiple protocol vehicles, security, fuel; estimate only — no official disclosure</t>
  </si>
  <si>
    <t>Unverified — no official disclosure exists for this figure</t>
  </si>
  <si>
    <t>Annual cost of one Grade-22 officer perks (est.)</t>
  </si>
  <si>
    <t>Housing, car, fuel, medical, servants — divided by 12 for monthly; estimate only</t>
  </si>
  <si>
    <t>Annual elite residential enclave subsidy (utilities — est.)</t>
  </si>
  <si>
    <t>Below-market utility rates for DHA/Cantonment residents — estimate; verify from utility companies</t>
  </si>
  <si>
    <t>READING THIS SHEET: Column C shows how many months of the official 'poverty line income' equals the cost of each single item. A PM motorcade trip = ~59 months of poverty-line income.</t>
  </si>
  <si>
    <t>⚠  IMPORTANT: All 'elite perk' figures are ESTIMATES compiled from published reports, media investigations, and PAC proceedings. They are approximations, not audited figures. Mark clearly as 'estimated' in any public use. Recommended verification: Finance Division, Establishment Division, National Assembly website, AGPR annual reports.</t>
  </si>
  <si>
    <t>THE Rs. 8,483 QUESTION — NATIONAL PICTURE</t>
  </si>
  <si>
    <t>Pakistan Poverty Line vs. Real Survival Cost — City by City | 2025</t>
  </si>
  <si>
    <t>Interior Sindh</t>
  </si>
  <si>
    <t>↑ monthly shortfall</t>
  </si>
  <si>
    <t>City</t>
  </si>
  <si>
    <t>Real Min Cost</t>
  </si>
  <si>
    <t>Govt Poverty Line</t>
  </si>
  <si>
    <t>Isb/RWP</t>
  </si>
  <si>
    <t>Int. Sindh</t>
  </si>
  <si>
    <t>⚠  All figures estimated. Red bars = Rs. 8,483 poverty line. Verify against PBS HIES 2024-25 | Utility company tariffs | Zameen.com | Economic Survey 2024-25.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</si>
</sst>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0.0%"/>
    <numFmt numFmtId="166" formatCode="0.0"/>
  </numFmts>
  <fonts count="27" x14ac:knownFonts="1">
    <font>
      <sz val="11"/>
      <color theme="1"/>
      <name val="Calibri"/>
      <family val="2"/>
      <charset val="1"/>
    </font>
    <font>
      <b/>
      <sz val="13"/>
      <color rgb="FFFFFFFF"/>
      <name val="Arial"/>
      <charset val="1"/>
    </font>
    <font>
      <b/>
      <sz val="10"/>
      <color rgb="FFFFFFFF"/>
      <name val="Arial"/>
      <charset val="1"/>
    </font>
    <font>
      <b/>
      <sz val="11"/>
      <color rgb="FF000000"/>
      <name val="Arial"/>
      <charset val="1"/>
    </font>
    <font>
      <b/>
      <sz val="12"/>
      <color rgb="FF00008B"/>
      <name val="Arial"/>
      <charset val="1"/>
    </font>
    <font>
      <i/>
      <sz val="9"/>
      <color rgb="FF555555"/>
      <name val="Arial"/>
      <charset val="1"/>
    </font>
    <font>
      <i/>
      <sz val="9"/>
      <color rgb="FF555555"/>
      <name val="Arial"/>
      <family val="2"/>
      <charset val="1"/>
    </font>
    <font>
      <b/>
      <sz val="9"/>
      <color rgb="FF00008B"/>
      <name val="Calibri"/>
      <family val="2"/>
      <charset val="1"/>
    </font>
    <font>
      <i/>
      <sz val="9"/>
      <color rgb="FF9A7D0A"/>
      <name val="Arial"/>
      <charset val="1"/>
    </font>
    <font>
      <sz val="11"/>
      <color rgb="FF000000"/>
      <name val="Arial"/>
      <charset val="1"/>
    </font>
    <font>
      <sz val="11"/>
      <color rgb="FF00008B"/>
      <name val="Arial"/>
      <charset val="1"/>
    </font>
    <font>
      <i/>
      <sz val="9"/>
      <color rgb="FF444444"/>
      <name val="Arial"/>
      <charset val="1"/>
    </font>
    <font>
      <b/>
      <sz val="12"/>
      <color rgb="FFFFFFFF"/>
      <name val="Arial"/>
      <charset val="1"/>
    </font>
    <font>
      <i/>
      <sz val="11"/>
      <color rgb="FFFFFFFF"/>
      <name val="Arial"/>
      <charset val="1"/>
    </font>
    <font>
      <sz val="11"/>
      <color rgb="FFC0392B"/>
      <name val="Arial"/>
      <charset val="1"/>
    </font>
    <font>
      <i/>
      <sz val="9"/>
      <color rgb="FF000000"/>
      <name val="Arial"/>
      <charset val="1"/>
    </font>
    <font>
      <b/>
      <sz val="11"/>
      <color rgb="FFFFFFFF"/>
      <name val="Arial"/>
      <charset val="1"/>
    </font>
    <font>
      <i/>
      <sz val="9"/>
      <color rgb="FFFFFFFF"/>
      <name val="Arial"/>
      <charset val="1"/>
    </font>
    <font>
      <b/>
      <sz val="10"/>
      <color rgb="FFC0392B"/>
      <name val="Arial"/>
      <charset val="1"/>
    </font>
    <font>
      <b/>
      <sz val="11"/>
      <color rgb="FF00008B"/>
      <name val="Arial"/>
      <charset val="1"/>
    </font>
    <font>
      <b/>
      <sz val="11"/>
      <color rgb="FFC0392B"/>
      <name val="Arial"/>
      <charset val="1"/>
    </font>
    <font>
      <b/>
      <sz val="10"/>
      <color rgb="FF4A235A"/>
      <name val="Arial"/>
      <charset val="1"/>
    </font>
    <font>
      <b/>
      <sz val="18"/>
      <color rgb="FFFFFFFF"/>
      <name val="Arial"/>
      <charset val="1"/>
    </font>
    <font>
      <b/>
      <sz val="14"/>
      <color rgb="FFFFFFFF"/>
      <name val="Arial"/>
      <charset val="1"/>
    </font>
    <font>
      <b/>
      <sz val="11"/>
      <color rgb="FFFFCCCC"/>
      <name val="Arial"/>
      <charset val="1"/>
    </font>
    <font>
      <i/>
      <sz val="9"/>
      <color rgb="FFDDDDDD"/>
      <name val="Arial"/>
      <charset val="1"/>
    </font>
    <font>
      <sz val="9"/>
      <color rgb="FF000000"/>
      <name val="Arial"/>
      <charset val="1"/>
    </font>
  </fonts>
  <fills count="18">
    <fill>
      <patternFill patternType="none"/>
    </fill>
    <fill>
      <patternFill patternType="gray125"/>
    </fill>
    <fill>
      <patternFill patternType="solid">
        <fgColor rgb="FF1F6B2E"/>
        <bgColor rgb="FF2E8B57"/>
      </patternFill>
    </fill>
    <fill>
      <patternFill patternType="solid">
        <fgColor rgb="FF2E8B57"/>
        <bgColor rgb="FF1F6B2E"/>
      </patternFill>
    </fill>
    <fill>
      <patternFill patternType="solid">
        <fgColor rgb="FFFFFFFF"/>
        <bgColor rgb="FFF9F9F9"/>
      </patternFill>
    </fill>
    <fill>
      <patternFill patternType="solid">
        <fgColor rgb="FFEAF4EA"/>
        <bgColor rgb="FFF2F2F2"/>
      </patternFill>
    </fill>
    <fill>
      <patternFill patternType="solid">
        <fgColor rgb="FFFEF9E7"/>
        <bgColor rgb="FFF9F9F9"/>
      </patternFill>
    </fill>
    <fill>
      <patternFill patternType="solid">
        <fgColor rgb="FF1A3C6E"/>
        <bgColor rgb="FF444444"/>
      </patternFill>
    </fill>
    <fill>
      <patternFill patternType="solid">
        <fgColor rgb="FF2E5F9E"/>
        <bgColor rgb="FF3366FF"/>
      </patternFill>
    </fill>
    <fill>
      <patternFill patternType="solid">
        <fgColor rgb="FFF2F2F2"/>
        <bgColor rgb="FFF5EEF8"/>
      </patternFill>
    </fill>
    <fill>
      <patternFill patternType="solid">
        <fgColor rgb="FFC0392B"/>
        <bgColor rgb="FFE74C3C"/>
      </patternFill>
    </fill>
    <fill>
      <patternFill patternType="solid">
        <fgColor rgb="FFE74C3C"/>
        <bgColor rgb="FFC0392B"/>
      </patternFill>
    </fill>
    <fill>
      <patternFill patternType="solid">
        <fgColor rgb="FFFDEDEC"/>
        <bgColor rgb="FFF5EEF8"/>
      </patternFill>
    </fill>
    <fill>
      <patternFill patternType="solid">
        <fgColor rgb="FF4A235A"/>
        <bgColor rgb="FF6C3483"/>
      </patternFill>
    </fill>
    <fill>
      <patternFill patternType="solid">
        <fgColor rgb="FF6C3483"/>
        <bgColor rgb="FF4A235A"/>
      </patternFill>
    </fill>
    <fill>
      <patternFill patternType="solid">
        <fgColor rgb="FFF5EEF8"/>
        <bgColor rgb="FFF2F2F2"/>
      </patternFill>
    </fill>
    <fill>
      <patternFill patternType="solid">
        <fgColor rgb="FF784212"/>
        <bgColor rgb="FF7B241C"/>
      </patternFill>
    </fill>
    <fill>
      <patternFill patternType="solid">
        <fgColor rgb="FF7B241C"/>
        <bgColor rgb="FF78421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0">
    <xf numFmtId="0" fontId="0" fillId="0" borderId="0" xfId="0"/>
    <xf numFmtId="0" fontId="13" fillId="3" borderId="0" xfId="0" applyFont="1" applyFill="1" applyAlignment="1">
      <alignment horizontal="center" vertical="center" wrapText="1"/>
    </xf>
    <xf numFmtId="0" fontId="22" fillId="2" borderId="0" xfId="0" applyFont="1" applyFill="1" applyAlignment="1">
      <alignment horizontal="center" vertical="center" wrapText="1"/>
    </xf>
    <xf numFmtId="0" fontId="21" fillId="15" borderId="0" xfId="0" applyFont="1" applyFill="1" applyAlignment="1">
      <alignment horizontal="left" vertical="center" wrapText="1"/>
    </xf>
    <xf numFmtId="0" fontId="1" fillId="14" borderId="0" xfId="0" applyFont="1" applyFill="1" applyAlignment="1">
      <alignment horizontal="center" vertical="center" wrapText="1"/>
    </xf>
    <xf numFmtId="0" fontId="1" fillId="13" borderId="0" xfId="0" applyFont="1" applyFill="1" applyAlignment="1">
      <alignment horizontal="center" vertical="center" wrapText="1"/>
    </xf>
    <xf numFmtId="0" fontId="18" fillId="12" borderId="0" xfId="0" applyFont="1" applyFill="1" applyAlignment="1">
      <alignment horizontal="left" vertical="center" wrapText="1"/>
    </xf>
    <xf numFmtId="0" fontId="1" fillId="11" borderId="0" xfId="0" applyFont="1" applyFill="1" applyAlignment="1">
      <alignment horizontal="center" vertical="center" wrapText="1"/>
    </xf>
    <xf numFmtId="0" fontId="1" fillId="10" borderId="0" xfId="0" applyFont="1" applyFill="1" applyAlignment="1">
      <alignment horizontal="center" vertical="center" wrapText="1"/>
    </xf>
    <xf numFmtId="0" fontId="1" fillId="8" borderId="0" xfId="0" applyFont="1" applyFill="1" applyAlignment="1">
      <alignment horizontal="center" vertical="center" wrapText="1"/>
    </xf>
    <xf numFmtId="0" fontId="1" fillId="7" borderId="0" xfId="0" applyFont="1" applyFill="1" applyAlignment="1">
      <alignment horizontal="center" vertical="center" wrapText="1"/>
    </xf>
    <xf numFmtId="0" fontId="8" fillId="6" borderId="0" xfId="0" applyFont="1" applyFill="1" applyAlignment="1">
      <alignment horizontal="left" vertical="center" wrapText="1"/>
    </xf>
    <xf numFmtId="0" fontId="1" fillId="3" borderId="0" xfId="0" applyFont="1" applyFill="1" applyAlignment="1">
      <alignment horizontal="center" vertical="center" wrapText="1"/>
    </xf>
    <xf numFmtId="0" fontId="1" fillId="2"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3" fontId="4" fillId="4" borderId="1" xfId="0" applyNumberFormat="1" applyFont="1" applyFill="1" applyBorder="1" applyAlignment="1">
      <alignment horizontal="center" vertical="center" wrapText="1"/>
    </xf>
    <xf numFmtId="0" fontId="5"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3" fontId="4" fillId="5" borderId="1" xfId="0" applyNumberFormat="1" applyFont="1" applyFill="1" applyBorder="1" applyAlignment="1">
      <alignment horizontal="center" vertical="center" wrapText="1"/>
    </xf>
    <xf numFmtId="49" fontId="6" fillId="5" borderId="1" xfId="0" applyNumberFormat="1" applyFont="1" applyFill="1" applyBorder="1" applyAlignment="1">
      <alignment horizontal="left" vertical="center" wrapText="1"/>
    </xf>
    <xf numFmtId="164" fontId="4" fillId="5" borderId="1" xfId="0" applyNumberFormat="1" applyFont="1" applyFill="1" applyBorder="1" applyAlignment="1">
      <alignment horizontal="center" vertical="center" wrapText="1"/>
    </xf>
    <xf numFmtId="0" fontId="6" fillId="5" borderId="1" xfId="0" applyFont="1" applyFill="1" applyBorder="1" applyAlignment="1">
      <alignment horizontal="left" vertical="center" wrapText="1"/>
    </xf>
    <xf numFmtId="49" fontId="7" fillId="4" borderId="1" xfId="0" applyNumberFormat="1" applyFont="1" applyFill="1" applyBorder="1" applyAlignment="1">
      <alignment horizontal="center" vertical="center" wrapText="1"/>
    </xf>
    <xf numFmtId="49" fontId="7" fillId="5" borderId="1" xfId="0" applyNumberFormat="1" applyFont="1" applyFill="1" applyBorder="1" applyAlignment="1">
      <alignment horizontal="center" vertical="top" wrapText="1"/>
    </xf>
    <xf numFmtId="0" fontId="5" fillId="5" borderId="1" xfId="0" applyFont="1" applyFill="1" applyBorder="1" applyAlignment="1">
      <alignment horizontal="left" vertical="center" wrapText="1"/>
    </xf>
    <xf numFmtId="0" fontId="2" fillId="7" borderId="1" xfId="0" applyFont="1" applyFill="1" applyBorder="1" applyAlignment="1">
      <alignment horizontal="center" vertical="center" wrapText="1"/>
    </xf>
    <xf numFmtId="0" fontId="2" fillId="7" borderId="0" xfId="0" applyFont="1" applyFill="1" applyAlignment="1">
      <alignment horizontal="center" vertical="center" wrapText="1"/>
    </xf>
    <xf numFmtId="0" fontId="9" fillId="4" borderId="1" xfId="0" applyFont="1" applyFill="1" applyBorder="1" applyAlignment="1">
      <alignment horizontal="left" vertical="center" wrapText="1"/>
    </xf>
    <xf numFmtId="3" fontId="10" fillId="4" borderId="1" xfId="0" applyNumberFormat="1" applyFont="1" applyFill="1" applyBorder="1" applyAlignment="1">
      <alignment horizontal="center" vertical="center" wrapText="1"/>
    </xf>
    <xf numFmtId="0" fontId="11" fillId="4" borderId="1" xfId="0" applyFont="1" applyFill="1" applyBorder="1" applyAlignment="1">
      <alignment horizontal="left" vertical="center" wrapText="1"/>
    </xf>
    <xf numFmtId="0" fontId="11" fillId="0" borderId="0" xfId="0" applyFont="1" applyAlignment="1">
      <alignment vertical="top" wrapText="1"/>
    </xf>
    <xf numFmtId="0" fontId="9" fillId="9" borderId="1" xfId="0" applyFont="1" applyFill="1" applyBorder="1" applyAlignment="1">
      <alignment horizontal="left" vertical="center" wrapText="1"/>
    </xf>
    <xf numFmtId="3" fontId="10" fillId="9" borderId="1" xfId="0" applyNumberFormat="1" applyFont="1" applyFill="1" applyBorder="1" applyAlignment="1">
      <alignment horizontal="center" vertical="center" wrapText="1"/>
    </xf>
    <xf numFmtId="0" fontId="11" fillId="9" borderId="1" xfId="0" applyFont="1" applyFill="1" applyBorder="1" applyAlignment="1">
      <alignment horizontal="left" vertical="center" wrapText="1"/>
    </xf>
    <xf numFmtId="0" fontId="10" fillId="4" borderId="1" xfId="0" applyFont="1" applyFill="1" applyBorder="1" applyAlignment="1">
      <alignment horizontal="center" vertical="center" wrapText="1"/>
    </xf>
    <xf numFmtId="0" fontId="12" fillId="7" borderId="1" xfId="0" applyFont="1" applyFill="1" applyBorder="1" applyAlignment="1">
      <alignment horizontal="left" vertical="center" wrapText="1"/>
    </xf>
    <xf numFmtId="3" fontId="1" fillId="7" borderId="1" xfId="0" applyNumberFormat="1" applyFont="1" applyFill="1" applyBorder="1" applyAlignment="1">
      <alignment horizontal="center" vertical="center" wrapText="1"/>
    </xf>
    <xf numFmtId="0" fontId="13" fillId="7" borderId="1" xfId="0" applyFont="1" applyFill="1" applyBorder="1" applyAlignment="1">
      <alignment horizontal="left" vertical="center" wrapText="1"/>
    </xf>
    <xf numFmtId="0" fontId="13" fillId="0" borderId="0" xfId="0" applyFont="1" applyAlignment="1">
      <alignment vertical="top" wrapText="1"/>
    </xf>
    <xf numFmtId="0" fontId="2" fillId="10" borderId="1" xfId="0" applyFont="1" applyFill="1" applyBorder="1" applyAlignment="1">
      <alignment horizontal="center" vertical="center" wrapText="1"/>
    </xf>
    <xf numFmtId="3" fontId="14" fillId="4" borderId="1" xfId="0" applyNumberFormat="1" applyFont="1" applyFill="1" applyBorder="1" applyAlignment="1">
      <alignment horizontal="center" vertical="center" wrapText="1"/>
    </xf>
    <xf numFmtId="0" fontId="15" fillId="4"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3" fontId="14" fillId="12" borderId="1" xfId="0" applyNumberFormat="1" applyFont="1" applyFill="1" applyBorder="1" applyAlignment="1">
      <alignment horizontal="center" vertical="center" wrapText="1"/>
    </xf>
    <xf numFmtId="0" fontId="15" fillId="12" borderId="1" xfId="0" applyFont="1" applyFill="1" applyBorder="1" applyAlignment="1">
      <alignment horizontal="left" vertical="center" wrapText="1"/>
    </xf>
    <xf numFmtId="0" fontId="16" fillId="10" borderId="1" xfId="0" applyFont="1" applyFill="1" applyBorder="1" applyAlignment="1">
      <alignment horizontal="left" vertical="center" wrapText="1"/>
    </xf>
    <xf numFmtId="3" fontId="16" fillId="10" borderId="1" xfId="0" applyNumberFormat="1" applyFont="1" applyFill="1" applyBorder="1" applyAlignment="1">
      <alignment horizontal="center" vertical="center" wrapText="1"/>
    </xf>
    <xf numFmtId="0" fontId="17" fillId="10" borderId="1" xfId="0" applyFont="1" applyFill="1" applyBorder="1" applyAlignment="1">
      <alignment horizontal="left" vertical="center" wrapText="1"/>
    </xf>
    <xf numFmtId="165" fontId="14" fillId="12" borderId="1" xfId="0" applyNumberFormat="1" applyFont="1" applyFill="1" applyBorder="1" applyAlignment="1">
      <alignment horizontal="center" vertical="center" wrapText="1"/>
    </xf>
    <xf numFmtId="165" fontId="14" fillId="4" borderId="1" xfId="0" applyNumberFormat="1" applyFont="1" applyFill="1" applyBorder="1" applyAlignment="1">
      <alignment horizontal="center" vertical="center" wrapText="1"/>
    </xf>
    <xf numFmtId="166" fontId="14" fillId="12" borderId="1" xfId="0" applyNumberFormat="1" applyFont="1" applyFill="1" applyBorder="1" applyAlignment="1">
      <alignment horizontal="center" vertical="center" wrapText="1"/>
    </xf>
    <xf numFmtId="0" fontId="2" fillId="13" borderId="1" xfId="0" applyFont="1" applyFill="1" applyBorder="1" applyAlignment="1">
      <alignment horizontal="center" vertical="center" wrapText="1"/>
    </xf>
    <xf numFmtId="166" fontId="19" fillId="4" borderId="1" xfId="0" applyNumberFormat="1" applyFont="1" applyFill="1" applyBorder="1" applyAlignment="1">
      <alignment horizontal="center" vertical="center" wrapText="1"/>
    </xf>
    <xf numFmtId="0" fontId="9" fillId="15" borderId="1" xfId="0" applyFont="1" applyFill="1" applyBorder="1" applyAlignment="1">
      <alignment horizontal="left" vertical="center" wrapText="1"/>
    </xf>
    <xf numFmtId="3" fontId="10" fillId="15" borderId="1" xfId="0" applyNumberFormat="1" applyFont="1" applyFill="1" applyBorder="1" applyAlignment="1">
      <alignment horizontal="center" vertical="center" wrapText="1"/>
    </xf>
    <xf numFmtId="166" fontId="20" fillId="15" borderId="1" xfId="0" applyNumberFormat="1" applyFont="1" applyFill="1" applyBorder="1" applyAlignment="1">
      <alignment horizontal="center" vertical="center" wrapText="1"/>
    </xf>
    <xf numFmtId="0" fontId="11" fillId="15" borderId="1" xfId="0" applyFont="1" applyFill="1" applyBorder="1" applyAlignment="1">
      <alignment horizontal="left" vertical="center" wrapText="1"/>
    </xf>
    <xf numFmtId="166" fontId="20" fillId="4"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3" fontId="23" fillId="7" borderId="1" xfId="0" applyNumberFormat="1" applyFont="1" applyFill="1" applyBorder="1" applyAlignment="1">
      <alignment horizontal="center" vertical="center" wrapText="1"/>
    </xf>
    <xf numFmtId="3" fontId="23" fillId="2" borderId="1" xfId="0" applyNumberFormat="1" applyFont="1" applyFill="1" applyBorder="1" applyAlignment="1">
      <alignment horizontal="center" vertical="center" wrapText="1"/>
    </xf>
    <xf numFmtId="3" fontId="23" fillId="13" borderId="1" xfId="0" applyNumberFormat="1" applyFont="1" applyFill="1" applyBorder="1" applyAlignment="1">
      <alignment horizontal="center" vertical="center" wrapText="1"/>
    </xf>
    <xf numFmtId="3" fontId="23" fillId="16" borderId="1" xfId="0" applyNumberFormat="1" applyFont="1" applyFill="1" applyBorder="1" applyAlignment="1">
      <alignment horizontal="center" vertical="center" wrapText="1"/>
    </xf>
    <xf numFmtId="3" fontId="23" fillId="17" borderId="1" xfId="0" applyNumberFormat="1" applyFont="1" applyFill="1" applyBorder="1" applyAlignment="1">
      <alignment horizontal="center" vertical="center" wrapText="1"/>
    </xf>
    <xf numFmtId="3" fontId="24" fillId="7" borderId="1" xfId="0" applyNumberFormat="1" applyFont="1" applyFill="1" applyBorder="1" applyAlignment="1">
      <alignment horizontal="center" vertical="center" wrapText="1"/>
    </xf>
    <xf numFmtId="3" fontId="24" fillId="2" borderId="1" xfId="0" applyNumberFormat="1" applyFont="1" applyFill="1" applyBorder="1" applyAlignment="1">
      <alignment horizontal="center" vertical="center" wrapText="1"/>
    </xf>
    <xf numFmtId="3" fontId="24" fillId="13" borderId="1" xfId="0" applyNumberFormat="1" applyFont="1" applyFill="1" applyBorder="1" applyAlignment="1">
      <alignment horizontal="center" vertical="center" wrapText="1"/>
    </xf>
    <xf numFmtId="3" fontId="24" fillId="16" borderId="1" xfId="0" applyNumberFormat="1" applyFont="1" applyFill="1" applyBorder="1" applyAlignment="1">
      <alignment horizontal="center" vertical="center" wrapText="1"/>
    </xf>
    <xf numFmtId="3" fontId="24" fillId="17" borderId="1" xfId="0" applyNumberFormat="1" applyFont="1" applyFill="1" applyBorder="1" applyAlignment="1">
      <alignment horizontal="center" vertical="center" wrapText="1"/>
    </xf>
    <xf numFmtId="0" fontId="25" fillId="7" borderId="1" xfId="0" applyFont="1" applyFill="1" applyBorder="1" applyAlignment="1">
      <alignment horizontal="center" vertical="center" wrapText="1"/>
    </xf>
    <xf numFmtId="0" fontId="25" fillId="2" borderId="1" xfId="0" applyFont="1" applyFill="1" applyBorder="1" applyAlignment="1">
      <alignment horizontal="center" vertical="center" wrapText="1"/>
    </xf>
    <xf numFmtId="0" fontId="25" fillId="13" borderId="1" xfId="0" applyFont="1" applyFill="1" applyBorder="1" applyAlignment="1">
      <alignment horizontal="center" vertical="center" wrapText="1"/>
    </xf>
    <xf numFmtId="0" fontId="25" fillId="16" borderId="1" xfId="0" applyFont="1" applyFill="1" applyBorder="1" applyAlignment="1">
      <alignment horizontal="center" vertical="center" wrapText="1"/>
    </xf>
    <xf numFmtId="0" fontId="25" fillId="17"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26" fillId="0" borderId="0" xfId="0" applyFont="1"/>
    <xf numFmtId="3"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F6B2E"/>
      <rgbColor rgb="FF00008B"/>
      <rgbColor rgb="FF9A7D0A"/>
      <rgbColor rgb="FF800080"/>
      <rgbColor rgb="FF008080"/>
      <rgbColor rgb="FFF5EEF8"/>
      <rgbColor rgb="FF878787"/>
      <rgbColor rgb="FF9999FF"/>
      <rgbColor rgb="FF6C3483"/>
      <rgbColor rgb="FFFEF9E7"/>
      <rgbColor rgb="FFEAF4EA"/>
      <rgbColor rgb="FF660066"/>
      <rgbColor rgb="FFFF8080"/>
      <rgbColor rgb="FF2E5F9E"/>
      <rgbColor rgb="FFD9D9D9"/>
      <rgbColor rgb="FF000080"/>
      <rgbColor rgb="FFFF00FF"/>
      <rgbColor rgb="FFFFFF00"/>
      <rgbColor rgb="FF00FFFF"/>
      <rgbColor rgb="FF800080"/>
      <rgbColor rgb="FF800000"/>
      <rgbColor rgb="FF008080"/>
      <rgbColor rgb="FF0000FF"/>
      <rgbColor rgb="FF00CCFF"/>
      <rgbColor rgb="FFF2F2F2"/>
      <rgbColor rgb="FFDDDDDD"/>
      <rgbColor rgb="FFFDEDEC"/>
      <rgbColor rgb="FFF9F9F9"/>
      <rgbColor rgb="FFFF99CC"/>
      <rgbColor rgb="FFCC99FF"/>
      <rgbColor rgb="FFFFCCCC"/>
      <rgbColor rgb="FF3366FF"/>
      <rgbColor rgb="FF33CCCC"/>
      <rgbColor rgb="FF99CC00"/>
      <rgbColor rgb="FFFFCC00"/>
      <rgbColor rgb="FFFF9900"/>
      <rgbColor rgb="FFE74C3C"/>
      <rgbColor rgb="FF555555"/>
      <rgbColor rgb="FF969696"/>
      <rgbColor rgb="FF1A3C6E"/>
      <rgbColor rgb="FF2E8B57"/>
      <rgbColor rgb="FF003300"/>
      <rgbColor rgb="FF784212"/>
      <rgbColor rgb="FF7B241C"/>
      <rgbColor rgb="FFC0392B"/>
      <rgbColor rgb="FF4A235A"/>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Real Survival Cost vs. Govt Poverty Line — By City</a:t>
            </a:r>
          </a:p>
        </c:rich>
      </c:tx>
      <c:overlay val="0"/>
      <c:spPr>
        <a:noFill/>
        <a:ln w="0">
          <a:noFill/>
        </a:ln>
      </c:spPr>
    </c:title>
    <c:autoTitleDeleted val="0"/>
    <c:plotArea>
      <c:layout/>
      <c:barChart>
        <c:barDir val="col"/>
        <c:grouping val="clustered"/>
        <c:varyColors val="0"/>
        <c:ser>
          <c:idx val="0"/>
          <c:order val="0"/>
          <c:tx>
            <c:strRef>
              <c:f>'5. Dashboard'!$C$9</c:f>
              <c:strCache>
                <c:ptCount val="1"/>
                <c:pt idx="0">
                  <c:v>Real Min Cost</c:v>
                </c:pt>
              </c:strCache>
            </c:strRef>
          </c:tx>
          <c:spPr>
            <a:solidFill>
              <a:srgbClr val="1A3C6E"/>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'5. Dashboard'!$B$10:$B$14</c:f>
              <c:strCache>
                <c:ptCount val="5"/>
                <c:pt idx="0">
                  <c:v>Karachi</c:v>
                </c:pt>
                <c:pt idx="1">
                  <c:v>Lahore</c:v>
                </c:pt>
                <c:pt idx="2">
                  <c:v>Isb/RWP</c:v>
                </c:pt>
                <c:pt idx="3">
                  <c:v>Peshawar</c:v>
                </c:pt>
                <c:pt idx="4">
                  <c:v>Int. Sindh</c:v>
                </c:pt>
              </c:strCache>
            </c:strRef>
          </c:cat>
          <c:val>
            <c:numRef>
              <c:f>'5. Dashboard'!$C$10:$C$14</c:f>
              <c:numCache>
                <c:formatCode>#,##0</c:formatCode>
                <c:ptCount val="5"/>
                <c:pt idx="0">
                  <c:v>50112</c:v>
                </c:pt>
                <c:pt idx="1">
                  <c:v>38448</c:v>
                </c:pt>
                <c:pt idx="2">
                  <c:v>28188</c:v>
                </c:pt>
                <c:pt idx="3">
                  <c:v>26568</c:v>
                </c:pt>
                <c:pt idx="4">
                  <c:v>21276</c:v>
                </c:pt>
              </c:numCache>
            </c:numRef>
          </c:val>
          <c:extLst>
            <c:ext xmlns:c16="http://schemas.microsoft.com/office/drawing/2014/chart" uri="{C3380CC4-5D6E-409C-BE32-E72D297353CC}">
              <c16:uniqueId val="{00000000-18A2-4BA8-9CE3-27602369795D}"/>
            </c:ext>
          </c:extLst>
        </c:ser>
        <c:ser>
          <c:idx val="1"/>
          <c:order val="1"/>
          <c:tx>
            <c:strRef>
              <c:f>'5. Dashboard'!$D$9</c:f>
              <c:strCache>
                <c:ptCount val="1"/>
                <c:pt idx="0">
                  <c:v>Govt Poverty Line</c:v>
                </c:pt>
              </c:strCache>
            </c:strRef>
          </c:tx>
          <c:spPr>
            <a:solidFill>
              <a:srgbClr val="E74C3C"/>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'5. Dashboard'!$B$10:$B$14</c:f>
              <c:strCache>
                <c:ptCount val="5"/>
                <c:pt idx="0">
                  <c:v>Karachi</c:v>
                </c:pt>
                <c:pt idx="1">
                  <c:v>Lahore</c:v>
                </c:pt>
                <c:pt idx="2">
                  <c:v>Isb/RWP</c:v>
                </c:pt>
                <c:pt idx="3">
                  <c:v>Peshawar</c:v>
                </c:pt>
                <c:pt idx="4">
                  <c:v>Int. Sindh</c:v>
                </c:pt>
              </c:strCache>
            </c:strRef>
          </c:cat>
          <c:val>
            <c:numRef>
              <c:f>'5. Dashboard'!$D$10:$D$14</c:f>
              <c:numCache>
                <c:formatCode>#,##0</c:formatCode>
                <c:ptCount val="5"/>
                <c:pt idx="0">
                  <c:v>8483</c:v>
                </c:pt>
                <c:pt idx="1">
                  <c:v>8483</c:v>
                </c:pt>
                <c:pt idx="2">
                  <c:v>8483</c:v>
                </c:pt>
                <c:pt idx="3">
                  <c:v>8483</c:v>
                </c:pt>
                <c:pt idx="4">
                  <c:v>8483</c:v>
                </c:pt>
              </c:numCache>
            </c:numRef>
          </c:val>
          <c:extLst>
            <c:ext xmlns:c16="http://schemas.microsoft.com/office/drawing/2014/chart" uri="{C3380CC4-5D6E-409C-BE32-E72D297353CC}">
              <c16:uniqueId val="{00000001-18A2-4BA8-9CE3-27602369795D}"/>
            </c:ext>
          </c:extLst>
        </c:ser>
        <c:dLbls>
          <c:showLegendKey val="0"/>
          <c:showVal val="0"/>
          <c:showCatName val="0"/>
          <c:showSerName val="0"/>
          <c:showPercent val="0"/>
          <c:showBubbleSize val="0"/>
        </c:dLbls>
        <c:gapWidth val="150"/>
        <c:axId val="13253256"/>
        <c:axId val="68857631"/>
      </c:barChart>
      <c:catAx>
        <c:axId val="13253256"/>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City</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8857631"/>
        <c:crosses val="autoZero"/>
        <c:auto val="1"/>
        <c:lblAlgn val="ctr"/>
        <c:lblOffset val="100"/>
        <c:noMultiLvlLbl val="0"/>
      </c:catAx>
      <c:valAx>
        <c:axId val="68857631"/>
        <c:scaling>
          <c:orientation val="minMax"/>
        </c:scaling>
        <c:delete val="0"/>
        <c:axPos val="l"/>
        <c:majorGridlines>
          <c:spPr>
            <a:ln w="9360">
              <a:solidFill>
                <a:srgbClr val="878787"/>
              </a:solidFill>
              <a:round/>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PKR per month</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325325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xdr:row>
      <xdr:rowOff>0</xdr:rowOff>
    </xdr:from>
    <xdr:to>
      <xdr:col>8</xdr:col>
      <xdr:colOff>24840</xdr:colOff>
      <xdr:row>41</xdr:row>
      <xdr:rowOff>85680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showGridLines="0" tabSelected="1" topLeftCell="A4" zoomScaleNormal="100" workbookViewId="0">
      <selection activeCell="C5" sqref="C5"/>
    </sheetView>
  </sheetViews>
  <sheetFormatPr defaultColWidth="8.61328125" defaultRowHeight="14.6" x14ac:dyDescent="0.4"/>
  <cols>
    <col min="1" max="1" width="32" customWidth="1"/>
    <col min="2" max="2" width="22" customWidth="1"/>
    <col min="3" max="3" width="50" customWidth="1"/>
  </cols>
  <sheetData>
    <row r="1" spans="1:3" ht="27.75" customHeight="1" x14ac:dyDescent="0.4">
      <c r="A1" s="13" t="s">
        <v>0</v>
      </c>
      <c r="B1" s="13"/>
      <c r="C1" s="13"/>
    </row>
    <row r="2" spans="1:3" ht="27.75" customHeight="1" x14ac:dyDescent="0.4">
      <c r="A2" s="12" t="s">
        <v>1</v>
      </c>
      <c r="B2" s="12"/>
      <c r="C2" s="12"/>
    </row>
    <row r="3" spans="1:3" ht="7.5" customHeight="1" x14ac:dyDescent="0.4"/>
    <row r="4" spans="1:3" ht="21.75" customHeight="1" x14ac:dyDescent="0.4">
      <c r="A4" s="14" t="s">
        <v>2</v>
      </c>
      <c r="B4" s="14" t="s">
        <v>3</v>
      </c>
      <c r="C4" s="14" t="s">
        <v>4</v>
      </c>
    </row>
    <row r="5" spans="1:3" ht="21.75" customHeight="1" x14ac:dyDescent="0.4">
      <c r="A5" s="15" t="s">
        <v>5</v>
      </c>
      <c r="B5" s="16">
        <v>8483</v>
      </c>
      <c r="C5" s="17" t="s">
        <v>6</v>
      </c>
    </row>
    <row r="6" spans="1:3" ht="21.75" customHeight="1" x14ac:dyDescent="0.4">
      <c r="A6" s="18" t="s">
        <v>7</v>
      </c>
      <c r="B6" s="19">
        <f>B5/30</f>
        <v>282.76666666666665</v>
      </c>
      <c r="C6" s="20" t="s">
        <v>8</v>
      </c>
    </row>
    <row r="7" spans="1:3" ht="21.75" customHeight="1" x14ac:dyDescent="0.4">
      <c r="A7" s="15" t="s">
        <v>9</v>
      </c>
      <c r="B7" s="16">
        <f>B5*12</f>
        <v>101796</v>
      </c>
      <c r="C7" s="17" t="s">
        <v>10</v>
      </c>
    </row>
    <row r="8" spans="1:3" ht="21.75" customHeight="1" x14ac:dyDescent="0.4">
      <c r="A8" s="18" t="s">
        <v>11</v>
      </c>
      <c r="B8" s="21">
        <f>B5/278</f>
        <v>30.514388489208635</v>
      </c>
      <c r="C8" s="22" t="s">
        <v>12</v>
      </c>
    </row>
    <row r="9" spans="1:3" ht="21.75" customHeight="1" x14ac:dyDescent="0.4">
      <c r="A9" s="15" t="s">
        <v>13</v>
      </c>
      <c r="B9" s="23" t="s">
        <v>14</v>
      </c>
      <c r="C9" s="17" t="s">
        <v>15</v>
      </c>
    </row>
    <row r="10" spans="1:3" ht="21.75" customHeight="1" x14ac:dyDescent="0.4">
      <c r="A10" s="18" t="s">
        <v>16</v>
      </c>
      <c r="B10" s="24" t="s">
        <v>17</v>
      </c>
      <c r="C10" s="25" t="s">
        <v>18</v>
      </c>
    </row>
    <row r="11" spans="1:3" ht="7.5" customHeight="1" x14ac:dyDescent="0.4"/>
    <row r="12" spans="1:3" ht="31.5" customHeight="1" x14ac:dyDescent="0.4">
      <c r="A12" s="11" t="s">
        <v>19</v>
      </c>
      <c r="B12" s="11"/>
      <c r="C12" s="11"/>
    </row>
  </sheetData>
  <mergeCells count="3">
    <mergeCell ref="A1:C1"/>
    <mergeCell ref="A2:C2"/>
    <mergeCell ref="A12:C1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
  <sheetViews>
    <sheetView showGridLines="0" topLeftCell="A10" zoomScaleNormal="100" workbookViewId="0"/>
  </sheetViews>
  <sheetFormatPr defaultColWidth="8.61328125" defaultRowHeight="14.6" x14ac:dyDescent="0.4"/>
  <cols>
    <col min="1" max="1" width="30" customWidth="1"/>
    <col min="2" max="6" width="16" customWidth="1"/>
    <col min="7" max="7" width="38" customWidth="1"/>
    <col min="8" max="8" width="46" customWidth="1"/>
  </cols>
  <sheetData>
    <row r="1" spans="1:8" ht="27.75" customHeight="1" x14ac:dyDescent="0.4">
      <c r="A1" s="10" t="s">
        <v>20</v>
      </c>
      <c r="B1" s="10"/>
      <c r="C1" s="10"/>
      <c r="D1" s="10"/>
      <c r="E1" s="10"/>
      <c r="F1" s="10"/>
      <c r="G1" s="10"/>
    </row>
    <row r="2" spans="1:8" ht="27.75" customHeight="1" x14ac:dyDescent="0.4">
      <c r="A2" s="9" t="s">
        <v>21</v>
      </c>
      <c r="B2" s="9"/>
      <c r="C2" s="9"/>
      <c r="D2" s="9"/>
      <c r="E2" s="9"/>
      <c r="F2" s="9"/>
      <c r="G2" s="9"/>
    </row>
    <row r="3" spans="1:8" ht="7.5" customHeight="1" x14ac:dyDescent="0.4"/>
    <row r="4" spans="1:8" ht="21.75" customHeight="1" x14ac:dyDescent="0.4">
      <c r="A4" s="26" t="s">
        <v>22</v>
      </c>
      <c r="B4" s="26" t="s">
        <v>23</v>
      </c>
      <c r="C4" s="26" t="s">
        <v>24</v>
      </c>
      <c r="D4" s="26" t="s">
        <v>25</v>
      </c>
      <c r="E4" s="26" t="s">
        <v>26</v>
      </c>
      <c r="F4" s="26" t="s">
        <v>27</v>
      </c>
      <c r="G4" s="26" t="s">
        <v>28</v>
      </c>
      <c r="H4" s="27" t="s">
        <v>13</v>
      </c>
    </row>
    <row r="5" spans="1:8" ht="25.5" customHeight="1" x14ac:dyDescent="0.4">
      <c r="A5" s="28" t="s">
        <v>29</v>
      </c>
      <c r="B5" s="29">
        <v>10000</v>
      </c>
      <c r="C5" s="29">
        <v>9000</v>
      </c>
      <c r="D5" s="29">
        <v>8500</v>
      </c>
      <c r="E5" s="29">
        <v>8000</v>
      </c>
      <c r="F5" s="29">
        <v>6500</v>
      </c>
      <c r="G5" s="30" t="s">
        <v>30</v>
      </c>
      <c r="H5" s="31" t="s">
        <v>31</v>
      </c>
    </row>
    <row r="6" spans="1:8" ht="25.5" customHeight="1" x14ac:dyDescent="0.4">
      <c r="A6" s="32" t="s">
        <v>32</v>
      </c>
      <c r="B6" s="33">
        <v>18000</v>
      </c>
      <c r="C6" s="33">
        <v>12000</v>
      </c>
      <c r="D6" s="33">
        <v>8000</v>
      </c>
      <c r="E6" s="33">
        <v>7000</v>
      </c>
      <c r="F6" s="33">
        <v>3000</v>
      </c>
      <c r="G6" s="34" t="s">
        <v>33</v>
      </c>
      <c r="H6" s="31" t="s">
        <v>34</v>
      </c>
    </row>
    <row r="7" spans="1:8" ht="25.5" customHeight="1" x14ac:dyDescent="0.4">
      <c r="A7" s="28" t="s">
        <v>35</v>
      </c>
      <c r="B7" s="29">
        <v>6000</v>
      </c>
      <c r="C7" s="29">
        <v>5000</v>
      </c>
      <c r="D7" s="29">
        <v>3500</v>
      </c>
      <c r="E7" s="29">
        <v>2500</v>
      </c>
      <c r="F7" s="29">
        <v>4000</v>
      </c>
      <c r="G7" s="30" t="s">
        <v>36</v>
      </c>
      <c r="H7" s="31" t="s">
        <v>37</v>
      </c>
    </row>
    <row r="8" spans="1:8" ht="25.5" customHeight="1" x14ac:dyDescent="0.4">
      <c r="A8" s="32" t="s">
        <v>38</v>
      </c>
      <c r="B8" s="33">
        <v>1200</v>
      </c>
      <c r="C8" s="33">
        <v>1000</v>
      </c>
      <c r="D8" s="33">
        <v>600</v>
      </c>
      <c r="E8" s="33">
        <v>800</v>
      </c>
      <c r="F8" s="33">
        <v>1500</v>
      </c>
      <c r="G8" s="34" t="s">
        <v>39</v>
      </c>
      <c r="H8" s="31" t="s">
        <v>40</v>
      </c>
    </row>
    <row r="9" spans="1:8" ht="25.5" customHeight="1" x14ac:dyDescent="0.4">
      <c r="A9" s="28" t="s">
        <v>41</v>
      </c>
      <c r="B9" s="29">
        <v>1000</v>
      </c>
      <c r="C9" s="29">
        <v>700</v>
      </c>
      <c r="D9" s="29">
        <v>500</v>
      </c>
      <c r="E9" s="29">
        <v>600</v>
      </c>
      <c r="F9" s="29">
        <v>800</v>
      </c>
      <c r="G9" s="30" t="s">
        <v>42</v>
      </c>
      <c r="H9" s="31" t="s">
        <v>43</v>
      </c>
    </row>
    <row r="10" spans="1:8" ht="25.5" customHeight="1" x14ac:dyDescent="0.4">
      <c r="A10" s="32" t="s">
        <v>44</v>
      </c>
      <c r="B10" s="33">
        <v>4000</v>
      </c>
      <c r="C10" s="33">
        <v>3000</v>
      </c>
      <c r="D10" s="33">
        <v>2000</v>
      </c>
      <c r="E10" s="33">
        <v>2500</v>
      </c>
      <c r="F10" s="33">
        <v>1500</v>
      </c>
      <c r="G10" s="34" t="s">
        <v>45</v>
      </c>
      <c r="H10" s="31" t="s">
        <v>46</v>
      </c>
    </row>
    <row r="11" spans="1:8" ht="25.5" customHeight="1" x14ac:dyDescent="0.4">
      <c r="A11" s="28" t="s">
        <v>47</v>
      </c>
      <c r="B11" s="29">
        <v>1200</v>
      </c>
      <c r="C11" s="29">
        <v>1000</v>
      </c>
      <c r="D11" s="29">
        <v>800</v>
      </c>
      <c r="E11" s="29">
        <v>800</v>
      </c>
      <c r="F11" s="29">
        <v>700</v>
      </c>
      <c r="G11" s="30" t="s">
        <v>48</v>
      </c>
      <c r="H11" s="31" t="s">
        <v>49</v>
      </c>
    </row>
    <row r="12" spans="1:8" ht="25.5" customHeight="1" x14ac:dyDescent="0.4">
      <c r="A12" s="32" t="s">
        <v>50</v>
      </c>
      <c r="B12" s="33">
        <v>2000</v>
      </c>
      <c r="C12" s="33">
        <v>1500</v>
      </c>
      <c r="D12" s="33">
        <v>500</v>
      </c>
      <c r="E12" s="33">
        <v>800</v>
      </c>
      <c r="F12" s="33">
        <v>600</v>
      </c>
      <c r="G12" s="34" t="s">
        <v>51</v>
      </c>
      <c r="H12" s="31" t="s">
        <v>52</v>
      </c>
    </row>
    <row r="13" spans="1:8" ht="25.5" customHeight="1" x14ac:dyDescent="0.4">
      <c r="A13" s="28" t="s">
        <v>53</v>
      </c>
      <c r="B13" s="29">
        <v>1500</v>
      </c>
      <c r="C13" s="29">
        <v>1200</v>
      </c>
      <c r="D13" s="29">
        <v>700</v>
      </c>
      <c r="E13" s="29">
        <v>800</v>
      </c>
      <c r="F13" s="29">
        <v>600</v>
      </c>
      <c r="G13" s="30" t="s">
        <v>54</v>
      </c>
      <c r="H13" s="31" t="s">
        <v>55</v>
      </c>
    </row>
    <row r="14" spans="1:8" ht="25.5" customHeight="1" x14ac:dyDescent="0.4">
      <c r="A14" s="32" t="s">
        <v>56</v>
      </c>
      <c r="B14" s="33">
        <v>1500</v>
      </c>
      <c r="C14" s="33">
        <v>1200</v>
      </c>
      <c r="D14" s="33">
        <v>1000</v>
      </c>
      <c r="E14" s="33">
        <v>800</v>
      </c>
      <c r="F14" s="33">
        <v>500</v>
      </c>
      <c r="G14" s="34" t="s">
        <v>57</v>
      </c>
      <c r="H14" s="31" t="s">
        <v>58</v>
      </c>
    </row>
    <row r="15" spans="1:8" ht="25.5" customHeight="1" x14ac:dyDescent="0.4">
      <c r="A15" s="28" t="s">
        <v>59</v>
      </c>
      <c r="B15" s="35">
        <f>SUM(B5:B14)*0.08</f>
        <v>3712</v>
      </c>
      <c r="C15" s="35">
        <f>SUM(C5:C14)*0.08</f>
        <v>2848</v>
      </c>
      <c r="D15" s="35">
        <f>SUM(D5:D14)*0.08</f>
        <v>2088</v>
      </c>
      <c r="E15" s="35">
        <f>SUM(E5:E14)*0.08</f>
        <v>1968</v>
      </c>
      <c r="F15" s="35">
        <f>SUM(F5:F14)*0.08</f>
        <v>1576</v>
      </c>
      <c r="G15" s="30" t="s">
        <v>60</v>
      </c>
      <c r="H15" s="31" t="s">
        <v>61</v>
      </c>
    </row>
    <row r="16" spans="1:8" ht="27.75" customHeight="1" x14ac:dyDescent="0.4">
      <c r="A16" s="36" t="s">
        <v>62</v>
      </c>
      <c r="B16" s="37">
        <f>SUM(B5:B15)</f>
        <v>50112</v>
      </c>
      <c r="C16" s="37">
        <f>SUM(C5:C15)</f>
        <v>38448</v>
      </c>
      <c r="D16" s="37">
        <f>SUM(D5:D15)</f>
        <v>28188</v>
      </c>
      <c r="E16" s="37">
        <f>SUM(E5:E15)</f>
        <v>26568</v>
      </c>
      <c r="F16" s="37">
        <f>SUM(F5:F15)</f>
        <v>21276</v>
      </c>
      <c r="G16" s="38" t="s">
        <v>63</v>
      </c>
      <c r="H16" s="39" t="s">
        <v>64</v>
      </c>
    </row>
    <row r="17" spans="1:7" ht="7.5" customHeight="1" x14ac:dyDescent="0.4"/>
    <row r="18" spans="1:7" ht="36" customHeight="1" x14ac:dyDescent="0.4">
      <c r="A18" s="11" t="s">
        <v>65</v>
      </c>
      <c r="B18" s="11"/>
      <c r="C18" s="11"/>
      <c r="D18" s="11"/>
      <c r="E18" s="11"/>
      <c r="F18" s="11"/>
      <c r="G18" s="11"/>
    </row>
  </sheetData>
  <mergeCells count="3">
    <mergeCell ref="A1:G1"/>
    <mergeCell ref="A2:G2"/>
    <mergeCell ref="A18:G1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
  <sheetViews>
    <sheetView showGridLines="0" topLeftCell="A7" zoomScaleNormal="100" workbookViewId="0"/>
  </sheetViews>
  <sheetFormatPr defaultColWidth="8.61328125" defaultRowHeight="14.6" x14ac:dyDescent="0.4"/>
  <cols>
    <col min="1" max="1" width="30" customWidth="1"/>
    <col min="2" max="6" width="16" customWidth="1"/>
    <col min="7" max="7" width="36" customWidth="1"/>
  </cols>
  <sheetData>
    <row r="1" spans="1:7" ht="27.75" customHeight="1" x14ac:dyDescent="0.4">
      <c r="A1" s="8" t="s">
        <v>66</v>
      </c>
      <c r="B1" s="8"/>
      <c r="C1" s="8"/>
      <c r="D1" s="8"/>
      <c r="E1" s="8"/>
      <c r="F1" s="8"/>
      <c r="G1" s="8"/>
    </row>
    <row r="2" spans="1:7" ht="27.75" customHeight="1" x14ac:dyDescent="0.4">
      <c r="A2" s="7" t="s">
        <v>67</v>
      </c>
      <c r="B2" s="7"/>
      <c r="C2" s="7"/>
      <c r="D2" s="7"/>
      <c r="E2" s="7"/>
      <c r="F2" s="7"/>
      <c r="G2" s="7"/>
    </row>
    <row r="3" spans="1:7" ht="7.5" customHeight="1" x14ac:dyDescent="0.4"/>
    <row r="4" spans="1:7" ht="21.75" customHeight="1" x14ac:dyDescent="0.4">
      <c r="A4" s="40" t="s">
        <v>68</v>
      </c>
      <c r="B4" s="40" t="s">
        <v>23</v>
      </c>
      <c r="C4" s="40" t="s">
        <v>24</v>
      </c>
      <c r="D4" s="40" t="s">
        <v>25</v>
      </c>
      <c r="E4" s="40" t="s">
        <v>26</v>
      </c>
      <c r="F4" s="40" t="s">
        <v>27</v>
      </c>
      <c r="G4" s="40" t="s">
        <v>69</v>
      </c>
    </row>
    <row r="5" spans="1:7" ht="25.5" customHeight="1" x14ac:dyDescent="0.4">
      <c r="A5" s="15" t="s">
        <v>70</v>
      </c>
      <c r="B5" s="41">
        <v>8483</v>
      </c>
      <c r="C5" s="41">
        <v>8483</v>
      </c>
      <c r="D5" s="41">
        <v>8483</v>
      </c>
      <c r="E5" s="41">
        <v>8483</v>
      </c>
      <c r="F5" s="41">
        <v>8483</v>
      </c>
      <c r="G5" s="42" t="s">
        <v>71</v>
      </c>
    </row>
    <row r="6" spans="1:7" ht="25.5" customHeight="1" x14ac:dyDescent="0.4">
      <c r="A6" s="43" t="s">
        <v>72</v>
      </c>
      <c r="B6" s="44">
        <f>'2. Multi-City Expenses'!B16</f>
        <v>50112</v>
      </c>
      <c r="C6" s="44">
        <f>'2. Multi-City Expenses'!C16</f>
        <v>38448</v>
      </c>
      <c r="D6" s="44">
        <f>'2. Multi-City Expenses'!D16</f>
        <v>28188</v>
      </c>
      <c r="E6" s="44">
        <f>'2. Multi-City Expenses'!E16</f>
        <v>26568</v>
      </c>
      <c r="F6" s="44">
        <f>'2. Multi-City Expenses'!F16</f>
        <v>21276</v>
      </c>
      <c r="G6" s="45" t="s">
        <v>73</v>
      </c>
    </row>
    <row r="7" spans="1:7" ht="25.5" customHeight="1" x14ac:dyDescent="0.4">
      <c r="A7" s="46" t="s">
        <v>74</v>
      </c>
      <c r="B7" s="47">
        <f>B6-B5</f>
        <v>41629</v>
      </c>
      <c r="C7" s="47">
        <f>C6-C5</f>
        <v>29965</v>
      </c>
      <c r="D7" s="47">
        <f>D6-D5</f>
        <v>19705</v>
      </c>
      <c r="E7" s="47">
        <f>E6-E5</f>
        <v>18085</v>
      </c>
      <c r="F7" s="47">
        <f>F6-F5</f>
        <v>12793</v>
      </c>
      <c r="G7" s="48" t="s">
        <v>75</v>
      </c>
    </row>
    <row r="8" spans="1:7" ht="25.5" customHeight="1" x14ac:dyDescent="0.4">
      <c r="A8" s="43" t="s">
        <v>76</v>
      </c>
      <c r="B8" s="49">
        <f>(B6-B5)/B5</f>
        <v>4.9073440999646349</v>
      </c>
      <c r="C8" s="49">
        <f>(C6-C5)/C5</f>
        <v>3.532358835317694</v>
      </c>
      <c r="D8" s="49">
        <f>(D6-D5)/D5</f>
        <v>2.3228810562301074</v>
      </c>
      <c r="E8" s="49">
        <f>(E6-E5)/E5</f>
        <v>2.1319108805846989</v>
      </c>
      <c r="F8" s="49">
        <f>(F6-F5)/F5</f>
        <v>1.5080749734763645</v>
      </c>
      <c r="G8" s="45" t="s">
        <v>77</v>
      </c>
    </row>
    <row r="9" spans="1:7" ht="25.5" customHeight="1" x14ac:dyDescent="0.4">
      <c r="A9" s="15" t="s">
        <v>78</v>
      </c>
      <c r="B9" s="50">
        <f>B5/B6</f>
        <v>0.1692808109833972</v>
      </c>
      <c r="C9" s="50">
        <f>C5/C6</f>
        <v>0.22063566375364127</v>
      </c>
      <c r="D9" s="50">
        <f>D5/D6</f>
        <v>0.30094366397048389</v>
      </c>
      <c r="E9" s="50">
        <f>E5/E6</f>
        <v>0.31929388738331826</v>
      </c>
      <c r="F9" s="50">
        <f>F5/F6</f>
        <v>0.39871216394059034</v>
      </c>
      <c r="G9" s="42" t="s">
        <v>79</v>
      </c>
    </row>
    <row r="10" spans="1:7" ht="25.5" customHeight="1" x14ac:dyDescent="0.4">
      <c r="A10" s="43" t="s">
        <v>80</v>
      </c>
      <c r="B10" s="51">
        <f>B5/B6*12</f>
        <v>2.0313697318007664</v>
      </c>
      <c r="C10" s="51">
        <f>C5/C6*12</f>
        <v>2.6476279650436951</v>
      </c>
      <c r="D10" s="51">
        <f>D5/D6*12</f>
        <v>3.6113239676458067</v>
      </c>
      <c r="E10" s="51">
        <f>E5/E6*12</f>
        <v>3.8315266485998194</v>
      </c>
      <c r="F10" s="51">
        <f>F5/F6*12</f>
        <v>4.7845459672870838</v>
      </c>
      <c r="G10" s="45" t="s">
        <v>81</v>
      </c>
    </row>
    <row r="11" spans="1:7" ht="7.5" customHeight="1" x14ac:dyDescent="0.4"/>
    <row r="12" spans="1:7" ht="48" customHeight="1" x14ac:dyDescent="0.4">
      <c r="A12" s="6" t="s">
        <v>82</v>
      </c>
      <c r="B12" s="6"/>
      <c r="C12" s="6"/>
      <c r="D12" s="6"/>
      <c r="E12" s="6"/>
      <c r="F12" s="6"/>
      <c r="G12" s="6"/>
    </row>
  </sheetData>
  <mergeCells count="3">
    <mergeCell ref="A1:G1"/>
    <mergeCell ref="A2:G2"/>
    <mergeCell ref="A12:G1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7"/>
  <sheetViews>
    <sheetView showGridLines="0" zoomScaleNormal="100" workbookViewId="0"/>
  </sheetViews>
  <sheetFormatPr defaultColWidth="8.61328125" defaultRowHeight="14.6" x14ac:dyDescent="0.4"/>
  <cols>
    <col min="1" max="1" width="30" customWidth="1"/>
    <col min="2" max="3" width="22" customWidth="1"/>
    <col min="4" max="4" width="40" customWidth="1"/>
    <col min="5" max="5" width="46" customWidth="1"/>
  </cols>
  <sheetData>
    <row r="1" spans="1:7" ht="27.75" customHeight="1" x14ac:dyDescent="0.4">
      <c r="A1" s="5" t="s">
        <v>83</v>
      </c>
      <c r="B1" s="5"/>
      <c r="C1" s="5"/>
      <c r="D1" s="5"/>
      <c r="E1" s="5"/>
      <c r="F1" s="5"/>
      <c r="G1" s="5"/>
    </row>
    <row r="2" spans="1:7" ht="27.75" customHeight="1" x14ac:dyDescent="0.4">
      <c r="A2" s="4" t="s">
        <v>84</v>
      </c>
      <c r="B2" s="4"/>
      <c r="C2" s="4"/>
      <c r="D2" s="4"/>
      <c r="E2" s="4"/>
      <c r="F2" s="4"/>
      <c r="G2" s="4"/>
    </row>
    <row r="3" spans="1:7" ht="7.5" customHeight="1" x14ac:dyDescent="0.4"/>
    <row r="4" spans="1:7" ht="21.75" customHeight="1" x14ac:dyDescent="0.4">
      <c r="A4" s="52" t="s">
        <v>2</v>
      </c>
      <c r="B4" s="52" t="s">
        <v>85</v>
      </c>
      <c r="C4" s="52" t="s">
        <v>86</v>
      </c>
      <c r="D4" s="52" t="s">
        <v>4</v>
      </c>
      <c r="E4" s="27" t="s">
        <v>87</v>
      </c>
    </row>
    <row r="5" spans="1:7" ht="25.5" customHeight="1" x14ac:dyDescent="0.4">
      <c r="A5" s="15" t="s">
        <v>88</v>
      </c>
      <c r="B5" s="29">
        <v>8483</v>
      </c>
      <c r="C5" s="53">
        <f t="shared" ref="C5:C13" si="0">B5/8483</f>
        <v>1</v>
      </c>
      <c r="D5" s="30" t="s">
        <v>89</v>
      </c>
      <c r="E5" s="31" t="s">
        <v>6</v>
      </c>
    </row>
    <row r="6" spans="1:7" ht="25.5" customHeight="1" x14ac:dyDescent="0.4">
      <c r="A6" s="54" t="s">
        <v>90</v>
      </c>
      <c r="B6" s="55">
        <v>65000</v>
      </c>
      <c r="C6" s="56">
        <f t="shared" si="0"/>
        <v>7.6623835907108333</v>
      </c>
      <c r="D6" s="57" t="s">
        <v>91</v>
      </c>
      <c r="E6" s="31" t="s">
        <v>92</v>
      </c>
    </row>
    <row r="7" spans="1:7" ht="25.5" customHeight="1" x14ac:dyDescent="0.4">
      <c r="A7" s="28" t="s">
        <v>93</v>
      </c>
      <c r="B7" s="29">
        <v>25000</v>
      </c>
      <c r="C7" s="58">
        <f t="shared" si="0"/>
        <v>2.947070611811859</v>
      </c>
      <c r="D7" s="30" t="s">
        <v>94</v>
      </c>
      <c r="E7" s="31" t="s">
        <v>95</v>
      </c>
    </row>
    <row r="8" spans="1:7" ht="25.5" customHeight="1" x14ac:dyDescent="0.4">
      <c r="A8" s="54" t="s">
        <v>96</v>
      </c>
      <c r="B8" s="55">
        <v>40000</v>
      </c>
      <c r="C8" s="56">
        <f t="shared" si="0"/>
        <v>4.7153129788989743</v>
      </c>
      <c r="D8" s="57" t="s">
        <v>97</v>
      </c>
      <c r="E8" s="31" t="s">
        <v>95</v>
      </c>
    </row>
    <row r="9" spans="1:7" ht="25.5" customHeight="1" x14ac:dyDescent="0.4">
      <c r="A9" s="28" t="s">
        <v>98</v>
      </c>
      <c r="B9" s="29">
        <v>15000</v>
      </c>
      <c r="C9" s="58">
        <f t="shared" si="0"/>
        <v>1.7682423670871155</v>
      </c>
      <c r="D9" s="30" t="s">
        <v>99</v>
      </c>
      <c r="E9" s="31" t="s">
        <v>95</v>
      </c>
    </row>
    <row r="10" spans="1:7" ht="25.5" customHeight="1" x14ac:dyDescent="0.4">
      <c r="A10" s="54" t="s">
        <v>100</v>
      </c>
      <c r="B10" s="55">
        <v>250000</v>
      </c>
      <c r="C10" s="56">
        <f t="shared" si="0"/>
        <v>29.470706118118589</v>
      </c>
      <c r="D10" s="57" t="s">
        <v>101</v>
      </c>
      <c r="E10" s="31" t="s">
        <v>102</v>
      </c>
    </row>
    <row r="11" spans="1:7" ht="25.5" customHeight="1" x14ac:dyDescent="0.4">
      <c r="A11" s="28" t="s">
        <v>103</v>
      </c>
      <c r="B11" s="29">
        <v>500000</v>
      </c>
      <c r="C11" s="58">
        <f t="shared" si="0"/>
        <v>58.941412236237177</v>
      </c>
      <c r="D11" s="30" t="s">
        <v>104</v>
      </c>
      <c r="E11" s="31" t="s">
        <v>105</v>
      </c>
    </row>
    <row r="12" spans="1:7" ht="25.5" customHeight="1" x14ac:dyDescent="0.4">
      <c r="A12" s="54" t="s">
        <v>106</v>
      </c>
      <c r="B12" s="55">
        <v>2400000</v>
      </c>
      <c r="C12" s="56">
        <f t="shared" si="0"/>
        <v>282.91877873393844</v>
      </c>
      <c r="D12" s="57" t="s">
        <v>107</v>
      </c>
      <c r="E12" s="31" t="s">
        <v>95</v>
      </c>
    </row>
    <row r="13" spans="1:7" ht="25.5" customHeight="1" x14ac:dyDescent="0.4">
      <c r="A13" s="28" t="s">
        <v>108</v>
      </c>
      <c r="B13" s="29">
        <v>1200000</v>
      </c>
      <c r="C13" s="58">
        <f t="shared" si="0"/>
        <v>141.45938936696922</v>
      </c>
      <c r="D13" s="30" t="s">
        <v>109</v>
      </c>
      <c r="E13" s="31" t="s">
        <v>95</v>
      </c>
    </row>
    <row r="14" spans="1:7" ht="7.5" customHeight="1" x14ac:dyDescent="0.4"/>
    <row r="15" spans="1:7" ht="39.75" customHeight="1" x14ac:dyDescent="0.4">
      <c r="A15" s="3" t="s">
        <v>110</v>
      </c>
      <c r="B15" s="3"/>
      <c r="C15" s="3"/>
      <c r="D15" s="3"/>
    </row>
    <row r="16" spans="1:7" ht="7.5" customHeight="1" x14ac:dyDescent="0.4"/>
    <row r="17" spans="1:4" ht="51.75" customHeight="1" x14ac:dyDescent="0.4">
      <c r="A17" s="11" t="s">
        <v>111</v>
      </c>
      <c r="B17" s="11"/>
      <c r="C17" s="11"/>
      <c r="D17" s="11"/>
    </row>
  </sheetData>
  <mergeCells count="4">
    <mergeCell ref="A1:G1"/>
    <mergeCell ref="A2:G2"/>
    <mergeCell ref="A15:D15"/>
    <mergeCell ref="A17:D17"/>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G47"/>
  <sheetViews>
    <sheetView showGridLines="0" topLeftCell="A25" zoomScaleNormal="100" workbookViewId="0"/>
  </sheetViews>
  <sheetFormatPr defaultColWidth="8.61328125" defaultRowHeight="14.6" x14ac:dyDescent="0.4"/>
  <cols>
    <col min="1" max="1" width="2" customWidth="1"/>
    <col min="2" max="2" width="20" customWidth="1"/>
    <col min="3" max="7" width="18" customWidth="1"/>
    <col min="8" max="8" width="2" customWidth="1"/>
  </cols>
  <sheetData>
    <row r="1" spans="2:7" ht="37.5" customHeight="1" x14ac:dyDescent="0.4">
      <c r="B1" s="2" t="s">
        <v>112</v>
      </c>
      <c r="C1" s="2"/>
      <c r="D1" s="2"/>
      <c r="E1" s="2"/>
      <c r="F1" s="2"/>
      <c r="G1" s="2"/>
    </row>
    <row r="2" spans="2:7" ht="21.75" customHeight="1" x14ac:dyDescent="0.4">
      <c r="B2" s="1" t="s">
        <v>113</v>
      </c>
      <c r="C2" s="1"/>
      <c r="D2" s="1"/>
      <c r="E2" s="1"/>
      <c r="F2" s="1"/>
      <c r="G2" s="1"/>
    </row>
    <row r="3" spans="2:7" ht="9.75" customHeight="1" x14ac:dyDescent="0.4"/>
    <row r="4" spans="2:7" ht="21.75" customHeight="1" x14ac:dyDescent="0.4">
      <c r="B4" s="26" t="s">
        <v>23</v>
      </c>
      <c r="C4" s="59" t="s">
        <v>24</v>
      </c>
      <c r="D4" s="52" t="s">
        <v>25</v>
      </c>
      <c r="E4" s="60" t="s">
        <v>26</v>
      </c>
      <c r="F4" s="61" t="s">
        <v>114</v>
      </c>
    </row>
    <row r="5" spans="2:7" ht="21.75" customHeight="1" x14ac:dyDescent="0.4">
      <c r="B5" s="62">
        <f>'2. Multi-City Expenses'!B16</f>
        <v>50112</v>
      </c>
      <c r="C5" s="63">
        <f>'2. Multi-City Expenses'!C16</f>
        <v>38448</v>
      </c>
      <c r="D5" s="64">
        <f>'2. Multi-City Expenses'!D16</f>
        <v>28188</v>
      </c>
      <c r="E5" s="65">
        <f>'2. Multi-City Expenses'!E16</f>
        <v>26568</v>
      </c>
      <c r="F5" s="66">
        <f>'2. Multi-City Expenses'!F16</f>
        <v>21276</v>
      </c>
    </row>
    <row r="6" spans="2:7" ht="21.75" customHeight="1" x14ac:dyDescent="0.4">
      <c r="B6" s="67">
        <f>'3. National Gap Analysis'!B7</f>
        <v>41629</v>
      </c>
      <c r="C6" s="68">
        <f>'3. National Gap Analysis'!C7</f>
        <v>29965</v>
      </c>
      <c r="D6" s="69">
        <f>'3. National Gap Analysis'!D7</f>
        <v>19705</v>
      </c>
      <c r="E6" s="70">
        <f>'3. National Gap Analysis'!E7</f>
        <v>18085</v>
      </c>
      <c r="F6" s="71">
        <f>'3. National Gap Analysis'!F7</f>
        <v>12793</v>
      </c>
    </row>
    <row r="7" spans="2:7" ht="21.75" customHeight="1" x14ac:dyDescent="0.4">
      <c r="B7" s="72" t="s">
        <v>115</v>
      </c>
      <c r="C7" s="73" t="s">
        <v>115</v>
      </c>
      <c r="D7" s="74" t="s">
        <v>115</v>
      </c>
      <c r="E7" s="75" t="s">
        <v>115</v>
      </c>
      <c r="F7" s="76" t="s">
        <v>115</v>
      </c>
    </row>
    <row r="8" spans="2:7" ht="9.75" customHeight="1" x14ac:dyDescent="0.4"/>
    <row r="9" spans="2:7" ht="19.5" customHeight="1" x14ac:dyDescent="0.4">
      <c r="B9" s="77" t="s">
        <v>116</v>
      </c>
      <c r="C9" s="77" t="s">
        <v>117</v>
      </c>
      <c r="D9" s="77" t="s">
        <v>118</v>
      </c>
    </row>
    <row r="10" spans="2:7" ht="18" customHeight="1" x14ac:dyDescent="0.4">
      <c r="B10" s="78" t="s">
        <v>23</v>
      </c>
      <c r="C10" s="79">
        <f>'2. Multi-City Expenses'!B16</f>
        <v>50112</v>
      </c>
      <c r="D10" s="79">
        <v>8483</v>
      </c>
    </row>
    <row r="11" spans="2:7" ht="18" customHeight="1" x14ac:dyDescent="0.4">
      <c r="B11" s="78" t="s">
        <v>24</v>
      </c>
      <c r="C11" s="79">
        <f>'2. Multi-City Expenses'!C16</f>
        <v>38448</v>
      </c>
      <c r="D11" s="79">
        <v>8483</v>
      </c>
    </row>
    <row r="12" spans="2:7" ht="18" customHeight="1" x14ac:dyDescent="0.4">
      <c r="B12" s="78" t="s">
        <v>119</v>
      </c>
      <c r="C12" s="79">
        <f>'2. Multi-City Expenses'!D16</f>
        <v>28188</v>
      </c>
      <c r="D12" s="79">
        <v>8483</v>
      </c>
    </row>
    <row r="13" spans="2:7" ht="18" customHeight="1" x14ac:dyDescent="0.4">
      <c r="B13" s="78" t="s">
        <v>26</v>
      </c>
      <c r="C13" s="79">
        <f>'2. Multi-City Expenses'!E16</f>
        <v>26568</v>
      </c>
      <c r="D13" s="79">
        <v>8483</v>
      </c>
    </row>
    <row r="14" spans="2:7" ht="18" customHeight="1" x14ac:dyDescent="0.4">
      <c r="B14" s="78" t="s">
        <v>120</v>
      </c>
      <c r="C14" s="79">
        <f>'2. Multi-City Expenses'!F16</f>
        <v>21276</v>
      </c>
      <c r="D14" s="79">
        <v>8483</v>
      </c>
    </row>
    <row r="46" spans="2:7" ht="7.5" customHeight="1" x14ac:dyDescent="0.4"/>
    <row r="47" spans="2:7" ht="27.75" customHeight="1" x14ac:dyDescent="0.4">
      <c r="B47" s="11" t="s">
        <v>121</v>
      </c>
      <c r="C47" s="11"/>
      <c r="D47" s="11"/>
      <c r="E47" s="11"/>
      <c r="F47" s="11"/>
      <c r="G47" s="11"/>
    </row>
  </sheetData>
  <mergeCells count="3">
    <mergeCell ref="B1:G1"/>
    <mergeCell ref="B2:G2"/>
    <mergeCell ref="B47:G47"/>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1. Govt Claim</vt:lpstr>
      <vt:lpstr>2. Multi-City Expenses</vt:lpstr>
      <vt:lpstr>3. National Gap Analysis</vt:lpstr>
      <vt:lpstr>4. Elite Context (Unverified)</vt:lpstr>
      <vt:lpstr>5.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Raja Wajahat</cp:lastModifiedBy>
  <cp:revision>3</cp:revision>
  <dcterms:created xsi:type="dcterms:W3CDTF">2026-06-25T20:01:14Z</dcterms:created>
  <dcterms:modified xsi:type="dcterms:W3CDTF">2026-07-24T20:07:32Z</dcterms:modified>
  <dc:language>en-US</dc:language>
</cp:coreProperties>
</file>